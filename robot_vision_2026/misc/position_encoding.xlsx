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eda/GIT/slides_marp/robot_vision_2026/misc/"/>
    </mc:Choice>
  </mc:AlternateContent>
  <xr:revisionPtr revIDLastSave="0" documentId="13_ncr:1_{C2DAD164-BBEB-B246-AC4A-3089F1697192}" xr6:coauthVersionLast="47" xr6:coauthVersionMax="47" xr10:uidLastSave="{00000000-0000-0000-0000-000000000000}"/>
  <bookViews>
    <workbookView xWindow="0" yWindow="600" windowWidth="33600" windowHeight="17000" xr2:uid="{6773948F-5FD1-F446-BD98-9D741AB57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L10" i="1"/>
  <c r="L11" i="1"/>
  <c r="K10" i="1"/>
  <c r="K12" i="1"/>
  <c r="J13" i="1"/>
  <c r="I14" i="1"/>
  <c r="H15" i="1"/>
  <c r="F16" i="1"/>
  <c r="E16" i="1"/>
  <c r="D16" i="1"/>
  <c r="C16" i="1"/>
  <c r="B16" i="1"/>
  <c r="J11" i="1"/>
  <c r="K11" i="1"/>
  <c r="J12" i="1"/>
  <c r="I13" i="1"/>
  <c r="H14" i="1"/>
  <c r="B15" i="1"/>
  <c r="C15" i="1"/>
  <c r="D15" i="1"/>
  <c r="E15" i="1"/>
  <c r="F15" i="1"/>
  <c r="J10" i="1"/>
  <c r="I10" i="1"/>
  <c r="H10" i="1"/>
  <c r="F10" i="1"/>
  <c r="E10" i="1"/>
  <c r="D10" i="1"/>
  <c r="C10" i="1"/>
  <c r="B10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5" i="1"/>
  <c r="F4" i="1"/>
  <c r="F3" i="1"/>
  <c r="F2" i="1"/>
  <c r="E5" i="1"/>
  <c r="D5" i="1"/>
  <c r="E4" i="1"/>
  <c r="D4" i="1"/>
  <c r="E3" i="1"/>
  <c r="D3" i="1"/>
  <c r="E2" i="1"/>
  <c r="D2" i="1"/>
  <c r="C3" i="1"/>
  <c r="C4" i="1"/>
  <c r="C5" i="1"/>
  <c r="C2" i="1"/>
  <c r="B3" i="1"/>
  <c r="B4" i="1"/>
  <c r="B5" i="1"/>
  <c r="B2" i="1"/>
  <c r="H13" i="1" l="1"/>
  <c r="I12" i="1"/>
  <c r="H12" i="1"/>
  <c r="I11" i="1"/>
  <c r="H11" i="1"/>
</calcChain>
</file>

<file path=xl/sharedStrings.xml><?xml version="1.0" encoding="utf-8"?>
<sst xmlns="http://schemas.openxmlformats.org/spreadsheetml/2006/main" count="3" uniqueCount="2">
  <si>
    <t xml:space="preserve">I / j </t>
    <phoneticPr fontId="1"/>
  </si>
  <si>
    <t>beta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</si>
</sst>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0D6E-4C8E-934F-AECC-CCA75DF108C6}">
  <dimension ref="A1:M16"/>
  <sheetViews>
    <sheetView tabSelected="1" workbookViewId="0">
      <selection activeCell="N20" sqref="N20"/>
    </sheetView>
  </sheetViews>
  <sheetFormatPr baseColWidth="10" defaultRowHeight="20"/>
  <sheetData>
    <row r="1" spans="1:1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</row>
    <row r="2" spans="1:13">
      <c r="A2">
        <v>1</v>
      </c>
      <c r="B2">
        <f>SIN($A2*(POWER($B$7,-2*B$1/5)))</f>
        <v>0.8414709848078965</v>
      </c>
      <c r="C2">
        <f>COS($A2*(POWER($B$7,-2*(C$1-1)/5)))</f>
        <v>0.54030230586813977</v>
      </c>
      <c r="D2">
        <f>SIN($A2*(POWER($B$7,-2*D$1/5)))</f>
        <v>6.309573026154194E-4</v>
      </c>
      <c r="E2">
        <f>COS($A2*(POWER($B$7,-2*(E$1-1)/5)))</f>
        <v>0.99999980094642138</v>
      </c>
      <c r="F2">
        <f>SIN($A2*(POWER($B$7,-2*F$1/5)))</f>
        <v>3.9810717055348565E-7</v>
      </c>
    </row>
    <row r="3" spans="1:13">
      <c r="A3">
        <v>2</v>
      </c>
      <c r="B3">
        <f t="shared" ref="B3:F5" si="0">SIN($A3*(POWER($B$7,-2*B$1/5)))</f>
        <v>0.90929742682568171</v>
      </c>
      <c r="C3">
        <f t="shared" ref="C3:E5" si="1">COS($A3*(POWER($B$7,-2*(C$1-1)/5)))</f>
        <v>-0.41614683654714241</v>
      </c>
      <c r="D3">
        <f t="shared" si="0"/>
        <v>1.2619143540422207E-3</v>
      </c>
      <c r="E3">
        <f t="shared" si="1"/>
        <v>0.99999920378576457</v>
      </c>
      <c r="F3">
        <f t="shared" si="0"/>
        <v>7.9621434110690819E-7</v>
      </c>
    </row>
    <row r="4" spans="1:13">
      <c r="A4">
        <v>3</v>
      </c>
      <c r="B4">
        <f t="shared" si="0"/>
        <v>0.14112000805986721</v>
      </c>
      <c r="C4">
        <f t="shared" si="1"/>
        <v>-0.98999249660044542</v>
      </c>
      <c r="D4">
        <f t="shared" si="0"/>
        <v>1.8928709030918858E-3</v>
      </c>
      <c r="E4">
        <f t="shared" si="1"/>
        <v>0.99999820851826737</v>
      </c>
      <c r="F4">
        <f t="shared" si="0"/>
        <v>1.1943215116602045E-6</v>
      </c>
    </row>
    <row r="5" spans="1:13">
      <c r="A5">
        <v>4</v>
      </c>
      <c r="B5">
        <f t="shared" si="0"/>
        <v>-0.75680249530792831</v>
      </c>
      <c r="C5">
        <f t="shared" si="1"/>
        <v>-0.65364362086361194</v>
      </c>
      <c r="D5">
        <f t="shared" si="0"/>
        <v>2.5238266985760961E-3</v>
      </c>
      <c r="E5">
        <f t="shared" si="1"/>
        <v>0.99999681514432615</v>
      </c>
      <c r="F5">
        <f t="shared" si="0"/>
        <v>1.5924286822133118E-6</v>
      </c>
    </row>
    <row r="7" spans="1:13">
      <c r="A7" t="s">
        <v>1</v>
      </c>
      <c r="B7">
        <v>10000</v>
      </c>
    </row>
    <row r="9" spans="1:13">
      <c r="A9" t="s">
        <v>0</v>
      </c>
      <c r="B9">
        <v>0</v>
      </c>
      <c r="C9">
        <v>1</v>
      </c>
      <c r="D9">
        <v>2</v>
      </c>
      <c r="E9">
        <v>3</v>
      </c>
      <c r="F9">
        <v>4</v>
      </c>
    </row>
    <row r="10" spans="1:13">
      <c r="A10">
        <v>0</v>
      </c>
      <c r="B10">
        <f>SIN($A10*(POWER($B$7,-2*B$1/5)))</f>
        <v>0</v>
      </c>
      <c r="C10">
        <f>COS($A10*(POWER($B$7,-2*(C$1-1)/5)))</f>
        <v>1</v>
      </c>
      <c r="D10">
        <f>SIN($A10*(POWER($B$7,-2*D$1/5)))</f>
        <v>0</v>
      </c>
      <c r="E10">
        <f>COS($A10*(POWER($B$7,-2*(E$1-1)/5)))</f>
        <v>1</v>
      </c>
      <c r="F10">
        <f>SIN($A10*(POWER($B$7,-2*F$1/5)))</f>
        <v>0</v>
      </c>
      <c r="H10">
        <f>B10*B11+C10*C11+D10*D11+E10*E11+F10*F11</f>
        <v>1.5403021068145613</v>
      </c>
      <c r="I10">
        <f>B10*B12+C10*C12+D10*D12+E10*E12+F10*F12</f>
        <v>0.58385236723862222</v>
      </c>
      <c r="J10">
        <f>B10*B13+C10*C13+D10*D13+E10*E13+F10*F13</f>
        <v>1.0005711917821958E-2</v>
      </c>
      <c r="K10">
        <f>B10*B14+C10*C14+D10*D14+E10*E14+F10*F14</f>
        <v>0.34635319428071421</v>
      </c>
      <c r="L10">
        <f>B10*B15+C10*C15+D10*D15+E10*E15+F10*F15</f>
        <v>1.2836572091277216</v>
      </c>
      <c r="M10">
        <f>B10*B16+C10*C16+D10*D16+E10*E16+F10*F16</f>
        <v>1.9601631207298544</v>
      </c>
    </row>
    <row r="11" spans="1:13">
      <c r="A11">
        <v>1</v>
      </c>
      <c r="B11">
        <f>SIN($A11*(POWER($B$7,-2*B$1/5)))</f>
        <v>0.8414709848078965</v>
      </c>
      <c r="C11">
        <f>COS($A11*(POWER($B$7,-2*(C$1-1)/5)))</f>
        <v>0.54030230586813977</v>
      </c>
      <c r="D11">
        <f>SIN($A11*(POWER($B$7,-2*D$1/5)))</f>
        <v>6.309573026154194E-4</v>
      </c>
      <c r="E11">
        <f>COS($A11*(POWER($B$7,-2*(E$1-1)/5)))</f>
        <v>0.99999980094642138</v>
      </c>
      <c r="F11">
        <f>SIN($A11*(POWER($B$7,-2*F$1/5)))</f>
        <v>3.9810717055348565E-7</v>
      </c>
      <c r="H11">
        <f>B11*B12+C11*C12+D11*D12+E11*E12+F11*F12</f>
        <v>1.5403021068148783</v>
      </c>
      <c r="I11">
        <f>B11*B13+C11*C13+D11*D13+E11*E13+F11*F13</f>
        <v>0.58385236723909761</v>
      </c>
      <c r="J11">
        <f>B11*B14+C11*C14+D11*D14+E11*E14+F11*F14</f>
        <v>1.0005711918455803E-2</v>
      </c>
      <c r="K11">
        <f>B11*B15+C11*C15+D11*D15+E11*E15+F11*F15</f>
        <v>0.34635319428150674</v>
      </c>
      <c r="L11">
        <f>B11*B16+C11*C16+D11*D16+E11*E16+F11*F16</f>
        <v>1.2836572091286729</v>
      </c>
    </row>
    <row r="12" spans="1:13">
      <c r="A12">
        <v>2</v>
      </c>
      <c r="B12">
        <f t="shared" ref="B12:F16" si="2">SIN($A12*(POWER($B$7,-2*B$1/5)))</f>
        <v>0.90929742682568171</v>
      </c>
      <c r="C12">
        <f t="shared" ref="C12:E16" si="3">COS($A12*(POWER($B$7,-2*(C$1-1)/5)))</f>
        <v>-0.41614683654714241</v>
      </c>
      <c r="D12">
        <f t="shared" si="2"/>
        <v>1.2619143540422207E-3</v>
      </c>
      <c r="E12">
        <f t="shared" si="3"/>
        <v>0.99999920378576457</v>
      </c>
      <c r="F12">
        <f t="shared" si="2"/>
        <v>7.9621434110690819E-7</v>
      </c>
      <c r="H12">
        <f t="shared" ref="H12:H15" si="4">B12*B13+C12*C13+D12*D13+E12*E13+F12*F13</f>
        <v>1.5403021068155121</v>
      </c>
      <c r="I12">
        <f>B12*B14+C12*C14+D12*D14+E12*E14+F12*F14</f>
        <v>0.58385236723989009</v>
      </c>
      <c r="J12">
        <f>B12*B15+C12*C15+D12*D15+E12*E15+F12*F15</f>
        <v>1.0005711919406962E-2</v>
      </c>
      <c r="K12">
        <f>B12*B16+C12*C16+D12*D16+E12*E16+F12*F16</f>
        <v>0.34635319428261618</v>
      </c>
    </row>
    <row r="13" spans="1:13">
      <c r="A13">
        <v>3</v>
      </c>
      <c r="B13">
        <f t="shared" si="2"/>
        <v>0.14112000805986721</v>
      </c>
      <c r="C13">
        <f t="shared" si="3"/>
        <v>-0.98999249660044542</v>
      </c>
      <c r="D13">
        <f t="shared" si="2"/>
        <v>1.8928709030918858E-3</v>
      </c>
      <c r="E13">
        <f t="shared" si="3"/>
        <v>0.99999820851826737</v>
      </c>
      <c r="F13">
        <f t="shared" si="2"/>
        <v>1.1943215116602045E-6</v>
      </c>
      <c r="H13">
        <f t="shared" si="4"/>
        <v>1.5403021068164628</v>
      </c>
      <c r="I13">
        <f>B13*B15+C13*C15+D13*D15+E13*E15+F13*F15</f>
        <v>0.58385236724099954</v>
      </c>
      <c r="J13">
        <f>B13*B16+C13*C16+D13*D16+E13*E16+F13*F16</f>
        <v>1.0005711920674877E-2</v>
      </c>
    </row>
    <row r="14" spans="1:13">
      <c r="A14">
        <v>4</v>
      </c>
      <c r="B14">
        <f t="shared" si="2"/>
        <v>-0.75680249530792831</v>
      </c>
      <c r="C14">
        <f t="shared" si="3"/>
        <v>-0.65364362086361194</v>
      </c>
      <c r="D14">
        <f t="shared" si="2"/>
        <v>2.5238266985760961E-3</v>
      </c>
      <c r="E14">
        <f t="shared" si="3"/>
        <v>0.99999681514432615</v>
      </c>
      <c r="F14">
        <f t="shared" si="2"/>
        <v>1.5924286822133118E-6</v>
      </c>
      <c r="H14">
        <f t="shared" si="4"/>
        <v>1.5403021068177309</v>
      </c>
      <c r="I14">
        <f>B14*B16+C14*C16+D14*D16+E14*E16+F14*F16</f>
        <v>0.58385236724242595</v>
      </c>
    </row>
    <row r="15" spans="1:13">
      <c r="A15">
        <v>5</v>
      </c>
      <c r="B15">
        <f t="shared" si="2"/>
        <v>-0.95892427466313845</v>
      </c>
      <c r="C15">
        <f t="shared" si="3"/>
        <v>0.28366218546322625</v>
      </c>
      <c r="D15">
        <f t="shared" si="2"/>
        <v>3.1547814893068339E-3</v>
      </c>
      <c r="E15">
        <f t="shared" si="3"/>
        <v>0.99999502366449544</v>
      </c>
      <c r="F15">
        <f t="shared" si="2"/>
        <v>1.9905358527661662E-6</v>
      </c>
      <c r="H15">
        <f t="shared" si="4"/>
        <v>1.5403021068193159</v>
      </c>
    </row>
    <row r="16" spans="1:13">
      <c r="A16">
        <v>6</v>
      </c>
      <c r="B16">
        <f t="shared" si="2"/>
        <v>-0.27941549819892586</v>
      </c>
      <c r="C16">
        <f t="shared" si="3"/>
        <v>0.96017028665036597</v>
      </c>
      <c r="D16">
        <f t="shared" si="2"/>
        <v>3.7857350240964815E-3</v>
      </c>
      <c r="E16">
        <f t="shared" si="3"/>
        <v>0.99999283407948847</v>
      </c>
      <c r="F16">
        <f t="shared" si="2"/>
        <v>2.3886430233187057E-6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上田　隆一</dc:creator>
  <cp:lastModifiedBy>上田　隆一</cp:lastModifiedBy>
  <dcterms:created xsi:type="dcterms:W3CDTF">2025-08-20T00:12:46Z</dcterms:created>
  <dcterms:modified xsi:type="dcterms:W3CDTF">2026-10-09T03:04:01Z</dcterms:modified>
</cp:coreProperties>
</file>